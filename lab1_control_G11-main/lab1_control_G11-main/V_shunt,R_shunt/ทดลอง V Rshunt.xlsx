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<sst xmlns="http://schemas.openxmlformats.org/spreadsheetml/2006/main" count="18" uniqueCount="16">
  <si>
    <t>ค่า R = 8 โอห์ม</t>
  </si>
  <si>
    <t>ทดลองผิด</t>
  </si>
  <si>
    <t>Volt แต่ละครั้ง</t>
  </si>
  <si>
    <t>Vmax</t>
  </si>
  <si>
    <t>Vmax(0.632)</t>
  </si>
  <si>
    <t>delta t(ms)</t>
  </si>
  <si>
    <t>delta v(V)</t>
  </si>
  <si>
    <t>Rm</t>
  </si>
  <si>
    <t>Lm</t>
  </si>
  <si>
    <t>Vsh(0.632)</t>
  </si>
  <si>
    <t>delta t</t>
  </si>
  <si>
    <t>delta v</t>
  </si>
  <si>
    <t>delta T ( average ) ms</t>
  </si>
  <si>
    <t>Rsh ( Ohms )</t>
  </si>
  <si>
    <t>Rm average ( Ohms )</t>
  </si>
  <si>
    <t>Lm average ( Ohms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</si>
</sst>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1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I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>
        <v>0.632</v>
      </c>
      <c r="G2" s="4" t="s">
        <v>7</v>
      </c>
      <c r="H2" s="5" t="s">
        <v>8</v>
      </c>
      <c r="I2" s="6" t="s">
        <v>2</v>
      </c>
      <c r="J2" s="6" t="s">
        <v>3</v>
      </c>
      <c r="K2" s="6" t="s">
        <v>9</v>
      </c>
      <c r="L2" s="6" t="s">
        <v>10</v>
      </c>
      <c r="M2" s="6" t="s">
        <v>11</v>
      </c>
    </row>
    <row r="3">
      <c r="A3" s="4">
        <v>6.0</v>
      </c>
      <c r="B3" s="4">
        <v>4.32</v>
      </c>
      <c r="C3" s="7">
        <f>F2*B3</f>
        <v>2.73024</v>
      </c>
      <c r="D3" s="4">
        <v>3.4</v>
      </c>
      <c r="E3" s="4">
        <v>2.72</v>
      </c>
      <c r="G3" s="8">
        <f t="shared" ref="G3:G23" si="1">$B$26*((A3/B3)-1)</f>
        <v>3.111111111</v>
      </c>
      <c r="H3" s="9">
        <f t="shared" ref="H3:H23" si="2">$B$26*(($A$3/$B$3)*(D3/1000))</f>
        <v>0.03777777778</v>
      </c>
      <c r="I3" s="10">
        <v>7.0</v>
      </c>
      <c r="J3" s="10">
        <v>4.96</v>
      </c>
      <c r="K3" s="10">
        <f t="shared" ref="K3:K20" si="3">0.632*J3</f>
        <v>3.13472</v>
      </c>
      <c r="L3" s="10">
        <v>320.0</v>
      </c>
      <c r="M3" s="10">
        <v>3.12</v>
      </c>
    </row>
    <row r="4">
      <c r="A4" s="4">
        <v>6.0</v>
      </c>
      <c r="B4" s="4">
        <v>4.24</v>
      </c>
      <c r="C4" s="7">
        <f>F2*B4</f>
        <v>2.67968</v>
      </c>
      <c r="D4" s="4">
        <v>3.3</v>
      </c>
      <c r="E4" s="4">
        <v>2.72</v>
      </c>
      <c r="G4" s="8">
        <f t="shared" si="1"/>
        <v>3.320754717</v>
      </c>
      <c r="H4" s="9">
        <f t="shared" si="2"/>
        <v>0.03666666667</v>
      </c>
      <c r="I4" s="10">
        <v>7.0</v>
      </c>
      <c r="J4" s="10">
        <v>4.96</v>
      </c>
      <c r="K4" s="10">
        <f t="shared" si="3"/>
        <v>3.13472</v>
      </c>
      <c r="L4" s="10">
        <v>320.0</v>
      </c>
      <c r="M4" s="10">
        <v>3.12</v>
      </c>
    </row>
    <row r="5">
      <c r="A5" s="4">
        <v>6.0</v>
      </c>
      <c r="B5" s="4">
        <v>4.24</v>
      </c>
      <c r="C5" s="7">
        <f>F2*B5</f>
        <v>2.67968</v>
      </c>
      <c r="D5" s="4">
        <v>3.3</v>
      </c>
      <c r="E5" s="4">
        <v>2.72</v>
      </c>
      <c r="G5" s="8">
        <f t="shared" si="1"/>
        <v>3.320754717</v>
      </c>
      <c r="H5" s="9">
        <f t="shared" si="2"/>
        <v>0.03666666667</v>
      </c>
      <c r="I5" s="10">
        <v>7.0</v>
      </c>
      <c r="J5" s="10">
        <v>4.96</v>
      </c>
      <c r="K5" s="10">
        <f t="shared" si="3"/>
        <v>3.13472</v>
      </c>
      <c r="L5" s="10">
        <v>320.0</v>
      </c>
      <c r="M5" s="10">
        <v>3.12</v>
      </c>
    </row>
    <row r="6">
      <c r="A6" s="4">
        <v>7.0</v>
      </c>
      <c r="B6" s="4">
        <v>4.96</v>
      </c>
      <c r="C6" s="7">
        <f>F2*B6</f>
        <v>3.13472</v>
      </c>
      <c r="D6" s="4">
        <v>3.5</v>
      </c>
      <c r="E6" s="4">
        <v>3.12</v>
      </c>
      <c r="G6" s="8">
        <f t="shared" si="1"/>
        <v>3.290322581</v>
      </c>
      <c r="H6" s="9">
        <f t="shared" si="2"/>
        <v>0.03888888889</v>
      </c>
      <c r="I6" s="10">
        <v>8.0</v>
      </c>
      <c r="J6" s="10">
        <v>5.68</v>
      </c>
      <c r="K6" s="10">
        <f t="shared" si="3"/>
        <v>3.58976</v>
      </c>
      <c r="L6" s="10">
        <v>340.0</v>
      </c>
      <c r="M6" s="10">
        <v>3.52</v>
      </c>
    </row>
    <row r="7">
      <c r="A7" s="4">
        <v>7.0</v>
      </c>
      <c r="B7" s="4">
        <v>4.96</v>
      </c>
      <c r="C7" s="7">
        <f>F2*B7</f>
        <v>3.13472</v>
      </c>
      <c r="D7" s="4">
        <v>3.5</v>
      </c>
      <c r="E7" s="4">
        <v>3.12</v>
      </c>
      <c r="G7" s="8">
        <f t="shared" si="1"/>
        <v>3.290322581</v>
      </c>
      <c r="H7" s="9">
        <f t="shared" si="2"/>
        <v>0.03888888889</v>
      </c>
      <c r="I7" s="10">
        <v>8.0</v>
      </c>
      <c r="J7" s="10">
        <v>5.68</v>
      </c>
      <c r="K7" s="10">
        <f t="shared" si="3"/>
        <v>3.58976</v>
      </c>
      <c r="L7" s="10">
        <v>340.0</v>
      </c>
      <c r="M7" s="10">
        <v>3.52</v>
      </c>
    </row>
    <row r="8">
      <c r="A8" s="4">
        <v>7.0</v>
      </c>
      <c r="B8" s="4">
        <v>4.96</v>
      </c>
      <c r="C8" s="7">
        <f>F2*B8</f>
        <v>3.13472</v>
      </c>
      <c r="D8" s="4">
        <v>3.5</v>
      </c>
      <c r="E8" s="4">
        <v>3.12</v>
      </c>
      <c r="G8" s="8">
        <f t="shared" si="1"/>
        <v>3.290322581</v>
      </c>
      <c r="H8" s="9">
        <f t="shared" si="2"/>
        <v>0.03888888889</v>
      </c>
      <c r="I8" s="10">
        <v>8.0</v>
      </c>
      <c r="J8" s="10">
        <v>5.68</v>
      </c>
      <c r="K8" s="10">
        <f t="shared" si="3"/>
        <v>3.58976</v>
      </c>
      <c r="L8" s="10">
        <v>340.0</v>
      </c>
      <c r="M8" s="10">
        <v>3.0</v>
      </c>
    </row>
    <row r="9">
      <c r="A9" s="4">
        <v>8.0</v>
      </c>
      <c r="B9" s="4">
        <v>5.68</v>
      </c>
      <c r="C9" s="7">
        <f>F2*B9</f>
        <v>3.58976</v>
      </c>
      <c r="D9" s="4">
        <v>3.3</v>
      </c>
      <c r="E9" s="4">
        <v>3.6</v>
      </c>
      <c r="G9" s="8">
        <f t="shared" si="1"/>
        <v>3.267605634</v>
      </c>
      <c r="H9" s="9">
        <f t="shared" si="2"/>
        <v>0.03666666667</v>
      </c>
      <c r="I9" s="10">
        <v>9.0</v>
      </c>
      <c r="J9" s="10">
        <v>6.4</v>
      </c>
      <c r="K9" s="10">
        <f t="shared" si="3"/>
        <v>4.0448</v>
      </c>
      <c r="L9" s="10">
        <v>380.0</v>
      </c>
      <c r="M9" s="10">
        <v>4.0</v>
      </c>
    </row>
    <row r="10">
      <c r="A10" s="4">
        <v>8.0</v>
      </c>
      <c r="B10" s="4">
        <v>5.68</v>
      </c>
      <c r="C10" s="7">
        <f>F2*B10</f>
        <v>3.58976</v>
      </c>
      <c r="D10" s="4">
        <v>3.3</v>
      </c>
      <c r="E10" s="4">
        <v>3.6</v>
      </c>
      <c r="G10" s="8">
        <f t="shared" si="1"/>
        <v>3.267605634</v>
      </c>
      <c r="H10" s="9">
        <f t="shared" si="2"/>
        <v>0.03666666667</v>
      </c>
      <c r="I10" s="10">
        <v>9.0</v>
      </c>
      <c r="J10" s="10">
        <v>6.4</v>
      </c>
      <c r="K10" s="10">
        <f t="shared" si="3"/>
        <v>4.0448</v>
      </c>
      <c r="L10" s="10">
        <v>380.0</v>
      </c>
      <c r="M10" s="10">
        <v>4.0</v>
      </c>
    </row>
    <row r="11">
      <c r="A11" s="4">
        <v>8.0</v>
      </c>
      <c r="B11" s="4">
        <v>5.68</v>
      </c>
      <c r="C11" s="7">
        <f>F2*B11</f>
        <v>3.58976</v>
      </c>
      <c r="D11" s="4">
        <v>3.3</v>
      </c>
      <c r="E11" s="4">
        <v>3.6</v>
      </c>
      <c r="G11" s="8">
        <f t="shared" si="1"/>
        <v>3.267605634</v>
      </c>
      <c r="H11" s="9">
        <f t="shared" si="2"/>
        <v>0.03666666667</v>
      </c>
      <c r="I11" s="10">
        <v>9.0</v>
      </c>
      <c r="J11" s="10">
        <v>6.4</v>
      </c>
      <c r="K11" s="10">
        <f t="shared" si="3"/>
        <v>4.0448</v>
      </c>
      <c r="L11" s="10">
        <v>380.0</v>
      </c>
      <c r="M11" s="10">
        <v>4.0</v>
      </c>
    </row>
    <row r="12">
      <c r="A12" s="4">
        <v>9.0</v>
      </c>
      <c r="B12" s="4">
        <v>6.4</v>
      </c>
      <c r="C12" s="7">
        <f>F2*B12</f>
        <v>4.0448</v>
      </c>
      <c r="D12" s="4">
        <v>3.2</v>
      </c>
      <c r="E12" s="4">
        <v>4.08</v>
      </c>
      <c r="G12" s="8">
        <f t="shared" si="1"/>
        <v>3.25</v>
      </c>
      <c r="H12" s="9">
        <f t="shared" si="2"/>
        <v>0.03555555556</v>
      </c>
      <c r="I12" s="10">
        <v>10.0</v>
      </c>
      <c r="J12" s="10">
        <v>7.12</v>
      </c>
      <c r="K12" s="10">
        <f t="shared" si="3"/>
        <v>4.49984</v>
      </c>
      <c r="L12" s="10">
        <v>400.0</v>
      </c>
      <c r="M12" s="10">
        <v>4.56</v>
      </c>
    </row>
    <row r="13">
      <c r="A13" s="4">
        <v>9.0</v>
      </c>
      <c r="B13" s="4">
        <v>6.4</v>
      </c>
      <c r="C13" s="7">
        <f>F2*B13</f>
        <v>4.0448</v>
      </c>
      <c r="D13" s="4">
        <v>3.2</v>
      </c>
      <c r="E13" s="4">
        <v>4.08</v>
      </c>
      <c r="G13" s="8">
        <f t="shared" si="1"/>
        <v>3.25</v>
      </c>
      <c r="H13" s="9">
        <f t="shared" si="2"/>
        <v>0.03555555556</v>
      </c>
      <c r="I13" s="10">
        <v>10.0</v>
      </c>
      <c r="J13" s="10">
        <v>7.12</v>
      </c>
      <c r="K13" s="10">
        <f t="shared" si="3"/>
        <v>4.49984</v>
      </c>
      <c r="L13" s="10">
        <v>400.0</v>
      </c>
      <c r="M13" s="10">
        <v>4.56</v>
      </c>
    </row>
    <row r="14">
      <c r="A14" s="4">
        <v>9.0</v>
      </c>
      <c r="B14" s="4">
        <v>6.32</v>
      </c>
      <c r="C14" s="7">
        <f>F2*B14</f>
        <v>3.99424</v>
      </c>
      <c r="D14" s="4">
        <v>3.3</v>
      </c>
      <c r="E14" s="4">
        <v>3.92</v>
      </c>
      <c r="G14" s="8">
        <f t="shared" si="1"/>
        <v>3.392405063</v>
      </c>
      <c r="H14" s="9">
        <f t="shared" si="2"/>
        <v>0.03666666667</v>
      </c>
      <c r="I14" s="10">
        <v>10.0</v>
      </c>
      <c r="J14" s="10">
        <v>7.12</v>
      </c>
      <c r="K14" s="10">
        <f t="shared" si="3"/>
        <v>4.49984</v>
      </c>
      <c r="L14" s="10">
        <v>400.0</v>
      </c>
      <c r="M14" s="10">
        <v>4.56</v>
      </c>
    </row>
    <row r="15">
      <c r="A15" s="4">
        <v>10.0</v>
      </c>
      <c r="B15" s="4">
        <v>7.04</v>
      </c>
      <c r="C15" s="7">
        <f>F2*B15</f>
        <v>4.44928</v>
      </c>
      <c r="D15" s="4">
        <v>3.3</v>
      </c>
      <c r="E15" s="4">
        <v>4.4</v>
      </c>
      <c r="G15" s="8">
        <f t="shared" si="1"/>
        <v>3.363636364</v>
      </c>
      <c r="H15" s="9">
        <f t="shared" si="2"/>
        <v>0.03666666667</v>
      </c>
      <c r="I15" s="10">
        <v>11.0</v>
      </c>
      <c r="J15" s="10">
        <v>7.92</v>
      </c>
      <c r="K15" s="10">
        <f t="shared" si="3"/>
        <v>5.00544</v>
      </c>
      <c r="L15" s="10">
        <v>300.0</v>
      </c>
      <c r="M15" s="10">
        <v>4.88</v>
      </c>
    </row>
    <row r="16">
      <c r="A16" s="4">
        <v>10.0</v>
      </c>
      <c r="B16" s="4">
        <v>7.04</v>
      </c>
      <c r="C16" s="7">
        <f>F2*B16</f>
        <v>4.44928</v>
      </c>
      <c r="D16" s="4">
        <v>3.3</v>
      </c>
      <c r="E16" s="4">
        <v>4.4</v>
      </c>
      <c r="G16" s="8">
        <f t="shared" si="1"/>
        <v>3.363636364</v>
      </c>
      <c r="H16" s="9">
        <f t="shared" si="2"/>
        <v>0.03666666667</v>
      </c>
      <c r="I16" s="10">
        <v>11.0</v>
      </c>
      <c r="J16" s="10">
        <v>7.92</v>
      </c>
      <c r="K16" s="10">
        <f t="shared" si="3"/>
        <v>5.00544</v>
      </c>
      <c r="L16" s="10">
        <v>300.0</v>
      </c>
      <c r="M16" s="10">
        <v>4.88</v>
      </c>
    </row>
    <row r="17">
      <c r="A17" s="4">
        <v>10.0</v>
      </c>
      <c r="B17" s="4">
        <v>7.04</v>
      </c>
      <c r="C17" s="7">
        <f>F2*B17</f>
        <v>4.44928</v>
      </c>
      <c r="D17" s="4">
        <v>3.3</v>
      </c>
      <c r="E17" s="4">
        <v>4.4</v>
      </c>
      <c r="G17" s="8">
        <f t="shared" si="1"/>
        <v>3.363636364</v>
      </c>
      <c r="H17" s="9">
        <f t="shared" si="2"/>
        <v>0.03666666667</v>
      </c>
      <c r="I17" s="10">
        <v>11.0</v>
      </c>
      <c r="J17" s="10">
        <v>7.84</v>
      </c>
      <c r="K17" s="10">
        <f t="shared" si="3"/>
        <v>4.95488</v>
      </c>
      <c r="L17" s="10">
        <v>300.0</v>
      </c>
      <c r="M17" s="10">
        <v>4.88</v>
      </c>
    </row>
    <row r="18">
      <c r="A18" s="4">
        <v>11.0</v>
      </c>
      <c r="B18" s="4">
        <v>7.6</v>
      </c>
      <c r="C18" s="7">
        <f>F2*B18</f>
        <v>4.8032</v>
      </c>
      <c r="D18" s="4">
        <v>3.3</v>
      </c>
      <c r="E18" s="4">
        <v>4.72</v>
      </c>
      <c r="G18" s="8">
        <f t="shared" si="1"/>
        <v>3.578947368</v>
      </c>
      <c r="H18" s="9">
        <f t="shared" si="2"/>
        <v>0.03666666667</v>
      </c>
      <c r="I18" s="10">
        <v>12.0</v>
      </c>
      <c r="J18" s="10">
        <v>8.32</v>
      </c>
      <c r="K18" s="10">
        <f t="shared" si="3"/>
        <v>5.25824</v>
      </c>
      <c r="L18" s="10">
        <v>300.0</v>
      </c>
      <c r="M18" s="10">
        <v>5.28</v>
      </c>
    </row>
    <row r="19">
      <c r="A19" s="4">
        <v>11.0</v>
      </c>
      <c r="B19" s="4">
        <v>7.44</v>
      </c>
      <c r="C19" s="7">
        <f>F2*B19</f>
        <v>4.70208</v>
      </c>
      <c r="D19" s="4">
        <v>3.4</v>
      </c>
      <c r="E19" s="4">
        <v>4.64</v>
      </c>
      <c r="G19" s="8">
        <f t="shared" si="1"/>
        <v>3.827956989</v>
      </c>
      <c r="H19" s="9">
        <f t="shared" si="2"/>
        <v>0.03777777778</v>
      </c>
      <c r="I19" s="10">
        <v>12.0</v>
      </c>
      <c r="J19" s="10">
        <v>8.24</v>
      </c>
      <c r="K19" s="10">
        <f t="shared" si="3"/>
        <v>5.20768</v>
      </c>
      <c r="L19" s="10">
        <v>280.0</v>
      </c>
      <c r="M19" s="10">
        <v>5.12</v>
      </c>
    </row>
    <row r="20">
      <c r="A20" s="4">
        <v>11.0</v>
      </c>
      <c r="B20" s="4">
        <v>7.68</v>
      </c>
      <c r="C20" s="7">
        <f>F2*B20</f>
        <v>4.85376</v>
      </c>
      <c r="D20" s="4">
        <v>3.5</v>
      </c>
      <c r="E20" s="4">
        <v>4.88</v>
      </c>
      <c r="G20" s="8">
        <f t="shared" si="1"/>
        <v>3.458333333</v>
      </c>
      <c r="H20" s="9">
        <f t="shared" si="2"/>
        <v>0.03888888889</v>
      </c>
      <c r="I20" s="10">
        <v>12.0</v>
      </c>
      <c r="J20" s="10">
        <v>8.48</v>
      </c>
      <c r="K20" s="10">
        <f t="shared" si="3"/>
        <v>5.35936</v>
      </c>
      <c r="L20" s="10">
        <v>320.0</v>
      </c>
      <c r="M20" s="10">
        <v>5.28</v>
      </c>
    </row>
    <row r="21">
      <c r="A21" s="4">
        <v>12.0</v>
      </c>
      <c r="B21" s="4">
        <v>8.4</v>
      </c>
      <c r="C21" s="7">
        <f>F2*B21</f>
        <v>5.3088</v>
      </c>
      <c r="D21" s="4">
        <v>3.5</v>
      </c>
      <c r="E21" s="4">
        <v>5.28</v>
      </c>
      <c r="G21" s="8">
        <f t="shared" si="1"/>
        <v>3.428571429</v>
      </c>
      <c r="H21" s="9">
        <f t="shared" si="2"/>
        <v>0.03888888889</v>
      </c>
    </row>
    <row r="22">
      <c r="A22" s="4">
        <v>12.0</v>
      </c>
      <c r="B22" s="4">
        <v>8.48</v>
      </c>
      <c r="C22" s="7">
        <f>F2*B22</f>
        <v>5.35936</v>
      </c>
      <c r="D22" s="4">
        <v>3.7</v>
      </c>
      <c r="E22" s="4">
        <v>5.36</v>
      </c>
      <c r="G22" s="8">
        <f t="shared" si="1"/>
        <v>3.320754717</v>
      </c>
      <c r="H22" s="9">
        <f t="shared" si="2"/>
        <v>0.04111111111</v>
      </c>
    </row>
    <row r="23">
      <c r="A23" s="4">
        <v>12.0</v>
      </c>
      <c r="B23" s="4">
        <v>8.56</v>
      </c>
      <c r="C23" s="7">
        <f>F2*B23</f>
        <v>5.40992</v>
      </c>
      <c r="D23" s="4">
        <v>3.6</v>
      </c>
      <c r="E23" s="4">
        <v>5.44</v>
      </c>
      <c r="G23" s="8">
        <f t="shared" si="1"/>
        <v>3.214953271</v>
      </c>
      <c r="H23" s="9">
        <f t="shared" si="2"/>
        <v>0.04</v>
      </c>
    </row>
    <row r="25">
      <c r="A25" s="4" t="s">
        <v>12</v>
      </c>
      <c r="B25" s="11">
        <f>AVERAGE(D3:D23)/10</f>
        <v>0.3380952381</v>
      </c>
    </row>
    <row r="26">
      <c r="A26" s="4" t="s">
        <v>13</v>
      </c>
      <c r="B26" s="4">
        <v>8.0</v>
      </c>
    </row>
    <row r="27">
      <c r="A27" s="4" t="s">
        <v>14</v>
      </c>
      <c r="B27" s="12">
        <f>AVERAGE(G3:G23)</f>
        <v>3.344725545</v>
      </c>
    </row>
    <row r="28">
      <c r="A28" s="4" t="s">
        <v>15</v>
      </c>
      <c r="B28" s="12">
        <f>AVERAGE(H3:H23)</f>
        <v>0.03756613757</v>
      </c>
    </row>
    <row r="29">
      <c r="B29" s="12"/>
    </row>
  </sheetData>
  <mergeCells count="2">
    <mergeCell ref="A1:F1"/>
    <mergeCell ref="I1:M1"/>
  </mergeCells>
  <drawing r:id="rId1"/>
</worksheet>
</file>